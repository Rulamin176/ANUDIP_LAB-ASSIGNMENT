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3d736b7f2b3d7d/Documents/"/>
    </mc:Choice>
  </mc:AlternateContent>
  <xr:revisionPtr revIDLastSave="19" documentId="8_{7FAA1AA9-CD5D-42A3-82A9-F480D49ACAC6}" xr6:coauthVersionLast="47" xr6:coauthVersionMax="47" xr10:uidLastSave="{75A3BA0F-919C-4350-855B-BD70068107BD}"/>
  <bookViews>
    <workbookView xWindow="-108" yWindow="-108" windowWidth="23256" windowHeight="12456" xr2:uid="{F1E1B626-7C8A-4EB7-B59F-87CBA02BF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  <c r="M3" i="1"/>
  <c r="M4" i="1"/>
  <c r="M5" i="1"/>
  <c r="M6" i="1"/>
  <c r="M7" i="1"/>
  <c r="M2" i="1"/>
  <c r="L3" i="1" l="1"/>
  <c r="L4" i="1"/>
  <c r="L5" i="1"/>
  <c r="L6" i="1"/>
  <c r="L7" i="1"/>
  <c r="L2" i="1"/>
  <c r="K3" i="1"/>
  <c r="K4" i="1"/>
  <c r="K5" i="1"/>
  <c r="K6" i="1"/>
  <c r="K7" i="1"/>
  <c r="K2" i="1"/>
  <c r="J2" i="1"/>
  <c r="J3" i="1"/>
  <c r="J4" i="1"/>
  <c r="J5" i="1"/>
  <c r="J6" i="1"/>
  <c r="J7" i="1"/>
  <c r="I4" i="1"/>
  <c r="I3" i="1"/>
  <c r="I5" i="1"/>
  <c r="I6" i="1"/>
  <c r="I7" i="1"/>
  <c r="I2" i="1"/>
  <c r="H3" i="1"/>
  <c r="H4" i="1"/>
  <c r="H5" i="1"/>
  <c r="H6" i="1"/>
  <c r="H7" i="1"/>
  <c r="H2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<sst xmlns="http://schemas.openxmlformats.org/spreadsheetml/2006/main" count="25" uniqueCount="23">
  <si>
    <t>Product ID</t>
  </si>
  <si>
    <t>Target</t>
  </si>
  <si>
    <t>Region</t>
  </si>
  <si>
    <t>Product Sales</t>
  </si>
  <si>
    <t>Product A</t>
  </si>
  <si>
    <t>Product B</t>
  </si>
  <si>
    <t>Product C</t>
  </si>
  <si>
    <t>Product D</t>
  </si>
  <si>
    <t>Product E</t>
  </si>
  <si>
    <t>Product F</t>
  </si>
  <si>
    <t>SALES</t>
  </si>
  <si>
    <t>North</t>
  </si>
  <si>
    <t>South</t>
  </si>
  <si>
    <t>East</t>
  </si>
  <si>
    <t>West</t>
  </si>
  <si>
    <t>sales target check</t>
  </si>
  <si>
    <t xml:space="preserve">Bonus Eligible </t>
  </si>
  <si>
    <t>commision</t>
  </si>
  <si>
    <t>BONUS AMNT</t>
  </si>
  <si>
    <t>SALE PERFORMANCE</t>
  </si>
  <si>
    <t>Price</t>
  </si>
  <si>
    <t>Bouns total</t>
  </si>
  <si>
    <t>top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</si>
</sst>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8DF12-8CC6-49A9-AF8F-B431F84FB89C}">
  <dimension ref="A1:M13"/>
  <sheetViews>
    <sheetView tabSelected="1" workbookViewId="0">
      <selection activeCell="G13" sqref="G13"/>
    </sheetView>
  </sheetViews>
  <sheetFormatPr defaultRowHeight="14.4" x14ac:dyDescent="0.3"/>
  <cols>
    <col min="2" max="2" width="11.88671875" bestFit="1" customWidth="1"/>
    <col min="3" max="3" width="11.88671875" customWidth="1"/>
    <col min="7" max="7" width="12.5546875" bestFit="1" customWidth="1"/>
    <col min="8" max="8" width="9.88671875" bestFit="1" customWidth="1"/>
    <col min="9" max="9" width="12.5546875" bestFit="1" customWidth="1"/>
    <col min="10" max="10" width="18.21875" bestFit="1" customWidth="1"/>
    <col min="12" max="12" width="10.33203125" bestFit="1" customWidth="1"/>
    <col min="13" max="13" width="15.88671875" bestFit="1" customWidth="1"/>
  </cols>
  <sheetData>
    <row r="1" spans="1:13" ht="43.2" x14ac:dyDescent="0.3">
      <c r="A1" s="1" t="s">
        <v>0</v>
      </c>
      <c r="B1" s="1" t="s">
        <v>3</v>
      </c>
      <c r="C1" s="1" t="s">
        <v>10</v>
      </c>
      <c r="D1" s="1" t="s">
        <v>1</v>
      </c>
      <c r="E1" s="1" t="s">
        <v>2</v>
      </c>
      <c r="F1" s="2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</row>
    <row r="2" spans="1:13" x14ac:dyDescent="0.3">
      <c r="A2" s="1">
        <v>101</v>
      </c>
      <c r="B2" s="1" t="s">
        <v>4</v>
      </c>
      <c r="C2" s="1">
        <v>120</v>
      </c>
      <c r="D2" s="1">
        <v>120</v>
      </c>
      <c r="E2" s="1" t="s">
        <v>11</v>
      </c>
      <c r="F2" s="3" t="str">
        <f>IF(D2&lt;=C2,"YES","NO")</f>
        <v>YES</v>
      </c>
      <c r="G2" s="3" t="str">
        <f>IF(AND(E2="North",C2&gt;200),"Bounus","No Bonus")</f>
        <v>No Bonus</v>
      </c>
      <c r="H2" s="3" t="str">
        <f>IF(C2&gt;=200,C2*10%,IF(C2&gt;=150,C2*7%,"NA"))</f>
        <v>NA</v>
      </c>
      <c r="I2" s="3">
        <f>IF(C2&gt;D2,C2*10%,C2*5%)</f>
        <v>6</v>
      </c>
      <c r="J2" s="3" t="str">
        <f>IF(C2&gt;=200,"Excellent",IF(C2&gt;=150,"Good",IF(C2&lt;150,"Needs Improvement","NA")))</f>
        <v>Needs Improvement</v>
      </c>
      <c r="K2" s="3" t="str">
        <f>IF(C2&gt;200,"High",IF(C2&gt;100,"Medium",IF(C2&lt;100,"Low","NA")))</f>
        <v>Medium</v>
      </c>
      <c r="L2" s="3" t="str">
        <f>IF(AND(C2&gt;=150,E2="North"),"$500","$300")</f>
        <v>$300</v>
      </c>
      <c r="M2" s="3" t="str">
        <f>IF(C2&gt;=PERCENTILE($C$2:$C$7,75%),"High  Performence","Low Performance")</f>
        <v>Low Performance</v>
      </c>
    </row>
    <row r="3" spans="1:13" x14ac:dyDescent="0.3">
      <c r="A3" s="1">
        <v>102</v>
      </c>
      <c r="B3" s="1" t="s">
        <v>5</v>
      </c>
      <c r="C3" s="1">
        <v>150</v>
      </c>
      <c r="D3" s="1">
        <v>140</v>
      </c>
      <c r="E3" s="1" t="s">
        <v>12</v>
      </c>
      <c r="F3" s="3" t="str">
        <f t="shared" ref="F3:F7" si="0">IF(D3&lt;=C3,"YES","NO")</f>
        <v>YES</v>
      </c>
      <c r="G3" s="3" t="str">
        <f t="shared" ref="G3:G7" si="1">IF(AND(E3="North",C3&gt;200),"Bounus","No Bonus")</f>
        <v>No Bonus</v>
      </c>
      <c r="H3" s="3">
        <f t="shared" ref="H3:H7" si="2">IF(C3&gt;=200,C3*10%,IF(C3&gt;=150,C3*7%,"NA"))</f>
        <v>10.500000000000002</v>
      </c>
      <c r="I3" s="3">
        <f t="shared" ref="I3:I7" si="3">IF(C3&gt;D3,C3*10%,C3*5%)</f>
        <v>15</v>
      </c>
      <c r="J3" s="3" t="str">
        <f t="shared" ref="J3:J7" si="4">IF(C3&gt;=200,"Excellent",IF(C3&gt;=150,"Good",IF(C3&lt;150,"Needs Improvement","NA")))</f>
        <v>Good</v>
      </c>
      <c r="K3" s="3" t="str">
        <f t="shared" ref="K3:K7" si="5">IF(C3&gt;200,"High",IF(C3&gt;100,"Medium",IF(C3&lt;100,"Low","NA")))</f>
        <v>Medium</v>
      </c>
      <c r="L3" s="3" t="str">
        <f t="shared" ref="L3:L7" si="6">IF(AND(C3&gt;=150,E3="North"),"$500","$300")</f>
        <v>$300</v>
      </c>
      <c r="M3" s="3" t="str">
        <f t="shared" ref="M3:M7" si="7">IF(C3&gt;=PERCENTILE($C$2:$C$7,75%),"High  Performence","Low Performance")</f>
        <v>Low Performance</v>
      </c>
    </row>
    <row r="4" spans="1:13" x14ac:dyDescent="0.3">
      <c r="A4" s="1">
        <v>103</v>
      </c>
      <c r="B4" s="1" t="s">
        <v>6</v>
      </c>
      <c r="C4" s="1">
        <v>200</v>
      </c>
      <c r="D4" s="1">
        <v>200</v>
      </c>
      <c r="E4" s="1" t="s">
        <v>13</v>
      </c>
      <c r="F4" s="3" t="str">
        <f t="shared" si="0"/>
        <v>YES</v>
      </c>
      <c r="G4" s="3" t="str">
        <f t="shared" si="1"/>
        <v>No Bonus</v>
      </c>
      <c r="H4" s="3">
        <f t="shared" si="2"/>
        <v>20</v>
      </c>
      <c r="I4" s="3">
        <f>IF(C4&gt;D4,C4*10%,C4*5%)</f>
        <v>10</v>
      </c>
      <c r="J4" s="3" t="str">
        <f t="shared" si="4"/>
        <v>Excellent</v>
      </c>
      <c r="K4" s="3" t="str">
        <f t="shared" si="5"/>
        <v>Medium</v>
      </c>
      <c r="L4" s="3" t="str">
        <f t="shared" si="6"/>
        <v>$300</v>
      </c>
      <c r="M4" s="3" t="str">
        <f t="shared" si="7"/>
        <v>High  Performence</v>
      </c>
    </row>
    <row r="5" spans="1:13" x14ac:dyDescent="0.3">
      <c r="A5" s="1">
        <v>104</v>
      </c>
      <c r="B5" s="1" t="s">
        <v>7</v>
      </c>
      <c r="C5" s="1">
        <v>90</v>
      </c>
      <c r="D5" s="1">
        <v>100</v>
      </c>
      <c r="E5" s="1" t="s">
        <v>14</v>
      </c>
      <c r="F5" s="3" t="str">
        <f t="shared" si="0"/>
        <v>NO</v>
      </c>
      <c r="G5" s="3" t="str">
        <f t="shared" si="1"/>
        <v>No Bonus</v>
      </c>
      <c r="H5" s="3" t="str">
        <f t="shared" si="2"/>
        <v>NA</v>
      </c>
      <c r="I5" s="3">
        <f t="shared" si="3"/>
        <v>4.5</v>
      </c>
      <c r="J5" s="3" t="str">
        <f t="shared" si="4"/>
        <v>Needs Improvement</v>
      </c>
      <c r="K5" s="3" t="str">
        <f t="shared" si="5"/>
        <v>Low</v>
      </c>
      <c r="L5" s="3" t="str">
        <f t="shared" si="6"/>
        <v>$300</v>
      </c>
      <c r="M5" s="3" t="str">
        <f t="shared" si="7"/>
        <v>Low Performance</v>
      </c>
    </row>
    <row r="6" spans="1:13" x14ac:dyDescent="0.3">
      <c r="A6" s="1">
        <v>105</v>
      </c>
      <c r="B6" s="1" t="s">
        <v>8</v>
      </c>
      <c r="C6" s="1">
        <v>220</v>
      </c>
      <c r="D6" s="1">
        <v>210</v>
      </c>
      <c r="E6" s="1" t="s">
        <v>11</v>
      </c>
      <c r="F6" s="3" t="str">
        <f t="shared" si="0"/>
        <v>YES</v>
      </c>
      <c r="G6" s="3" t="str">
        <f t="shared" si="1"/>
        <v>Bounus</v>
      </c>
      <c r="H6" s="3">
        <f t="shared" si="2"/>
        <v>22</v>
      </c>
      <c r="I6" s="3">
        <f t="shared" si="3"/>
        <v>22</v>
      </c>
      <c r="J6" s="3" t="str">
        <f t="shared" si="4"/>
        <v>Excellent</v>
      </c>
      <c r="K6" s="3" t="str">
        <f t="shared" si="5"/>
        <v>High</v>
      </c>
      <c r="L6" s="3" t="str">
        <f t="shared" si="6"/>
        <v>$500</v>
      </c>
      <c r="M6" s="3" t="str">
        <f t="shared" si="7"/>
        <v>High  Performence</v>
      </c>
    </row>
    <row r="7" spans="1:13" x14ac:dyDescent="0.3">
      <c r="A7" s="1">
        <v>106</v>
      </c>
      <c r="B7" s="1" t="s">
        <v>9</v>
      </c>
      <c r="C7" s="1">
        <v>130</v>
      </c>
      <c r="D7" s="1">
        <v>160</v>
      </c>
      <c r="E7" s="1" t="s">
        <v>12</v>
      </c>
      <c r="F7" s="3" t="str">
        <f t="shared" si="0"/>
        <v>NO</v>
      </c>
      <c r="G7" s="3" t="str">
        <f t="shared" si="1"/>
        <v>No Bonus</v>
      </c>
      <c r="H7" s="3" t="str">
        <f t="shared" si="2"/>
        <v>NA</v>
      </c>
      <c r="I7" s="3">
        <f t="shared" si="3"/>
        <v>6.5</v>
      </c>
      <c r="J7" s="3" t="str">
        <f t="shared" si="4"/>
        <v>Needs Improvement</v>
      </c>
      <c r="K7" s="3" t="str">
        <f t="shared" si="5"/>
        <v>Medium</v>
      </c>
      <c r="L7" s="3" t="str">
        <f t="shared" si="6"/>
        <v>$300</v>
      </c>
      <c r="M7" s="3" t="str">
        <f t="shared" si="7"/>
        <v>Low Performance</v>
      </c>
    </row>
    <row r="13" spans="1:13" x14ac:dyDescent="0.3">
      <c r="G13">
        <f>PERCENTILE(C2:C7,75%)</f>
        <v>187.5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 Amin</dc:creator>
  <cp:lastModifiedBy>Rul Amin</cp:lastModifiedBy>
  <dcterms:created xsi:type="dcterms:W3CDTF">2025-11-24T04:41:55Z</dcterms:created>
  <dcterms:modified xsi:type="dcterms:W3CDTF">2025-11-24T06:18:41Z</dcterms:modified>
</cp:coreProperties>
</file>