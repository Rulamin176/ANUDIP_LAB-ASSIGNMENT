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P-D2473\"/>
    </mc:Choice>
  </mc:AlternateContent>
  <xr:revisionPtr revIDLastSave="0" documentId="13_ncr:1_{260C2FBC-6CEB-4531-9449-BE97BD8D273E}" xr6:coauthVersionLast="36" xr6:coauthVersionMax="36" xr10:uidLastSave="{00000000-0000-0000-0000-000000000000}"/>
  <bookViews>
    <workbookView xWindow="0" yWindow="0" windowWidth="21600" windowHeight="9525" activeTab="1" xr2:uid="{99C213F9-8897-4798-B4C8-4ACB53AC415B}"/>
  </bookViews>
  <sheets>
    <sheet name="Sheet1" sheetId="1" r:id="rId1"/>
    <sheet name="Sheet2" sheetId="2" r:id="rId2"/>
  </sheets>
  <definedNames>
    <definedName name="ORDERS">Sheet2!$A$1</definedName>
    <definedName name="PRODUCTS">Sheet1!$D$3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3" i="1"/>
  <c r="D4" i="1"/>
  <c r="D5" i="1"/>
  <c r="D6" i="1"/>
  <c r="D7" i="1"/>
  <c r="D2" i="1"/>
  <c r="G2" i="2"/>
  <c r="D3" i="2"/>
  <c r="D4" i="2"/>
  <c r="D5" i="2"/>
  <c r="D6" i="2"/>
  <c r="D7" i="2"/>
  <c r="D2" i="2"/>
  <c r="I2" i="2" s="1"/>
  <c r="H3" i="2"/>
  <c r="H4" i="2"/>
  <c r="H5" i="2"/>
  <c r="H6" i="2"/>
  <c r="H7" i="2"/>
  <c r="H2" i="2"/>
  <c r="F2" i="2"/>
  <c r="G8" i="2"/>
  <c r="G3" i="2"/>
  <c r="G4" i="2"/>
  <c r="G5" i="2"/>
  <c r="G6" i="2"/>
  <c r="G7" i="2"/>
  <c r="F3" i="2"/>
  <c r="F4" i="2"/>
  <c r="F5" i="2"/>
  <c r="F6" i="2"/>
  <c r="F7" i="2"/>
  <c r="E3" i="2"/>
  <c r="E4" i="2"/>
  <c r="E5" i="2"/>
  <c r="E6" i="2"/>
  <c r="E7" i="2"/>
  <c r="J9" i="1" s="1"/>
  <c r="E2" i="2"/>
</calcChain>
</file>

<file path=xl/sharedStrings.xml><?xml version="1.0" encoding="utf-8"?>
<sst xmlns="http://schemas.openxmlformats.org/spreadsheetml/2006/main" count="22" uniqueCount="19">
  <si>
    <t xml:space="preserve">PRODUCT ID 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</si>
  <si>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</si>
  <si>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</si>
  <si>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</si>
  <si>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</si>
  <si>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</si>
  <si>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</si>
  <si>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</si>
  <si>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</si>
  <si>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 xml:space="preserve">ORDER ID </t>
  </si>
  <si>
    <t>QUANTITY</t>
  </si>
  <si>
    <t>TOTAL PRICE</t>
  </si>
  <si>
    <t>PRODUCT NAME</t>
  </si>
  <si>
    <t>UNIT PRICE</t>
  </si>
  <si>
    <t>LOOKUP</t>
  </si>
  <si>
    <t>DISCOUNT</t>
  </si>
  <si>
    <t xml:space="preserve">MAX ORDER VALUE </t>
  </si>
  <si>
    <t>ORDER STATUS</t>
  </si>
  <si>
    <t xml:space="preserve">TOTAL SALE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</si>
</sst>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Fill="1" applyBorder="1"/>
    <xf numFmtId="0" fontId="0" fillId="2" borderId="2" xfId="0" applyFill="1" applyBorder="1"/>
    <xf numFmtId="0" fontId="0" fillId="2" borderId="0" xfId="0" applyFill="1"/>
    <xf numFmtId="0" fontId="0" fillId="0" borderId="0" xfId="0" applyFill="1"/>
    <xf numFmtId="0" fontId="1" fillId="0" borderId="3" xfId="0" applyFont="1" applyBorder="1"/>
    <xf numFmtId="0" fontId="0" fillId="0" borderId="3" xfId="0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9851-93D3-4303-85F6-BAE41B897AF2}">
  <dimension ref="A1:K9"/>
  <sheetViews>
    <sheetView workbookViewId="0">
      <selection activeCell="B30" sqref="B30"/>
    </sheetView>
  </sheetViews>
  <sheetFormatPr defaultRowHeight="15" x14ac:dyDescent="0.25"/>
  <cols>
    <col min="1" max="1" width="15.140625" customWidth="1"/>
    <col min="2" max="2" width="11.140625" bestFit="1" customWidth="1"/>
    <col min="4" max="4" width="14.28515625" bestFit="1" customWidth="1"/>
    <col min="9" max="9" width="12.28515625" bestFit="1" customWidth="1"/>
    <col min="10" max="10" width="11.140625" bestFit="1" customWidth="1"/>
    <col min="11" max="11" width="11.5703125" bestFit="1" customWidth="1"/>
  </cols>
  <sheetData>
    <row r="1" spans="1:11" x14ac:dyDescent="0.25">
      <c r="A1" s="1" t="s">
        <v>0</v>
      </c>
      <c r="B1" s="1" t="s">
        <v>1</v>
      </c>
      <c r="C1" s="8" t="s">
        <v>2</v>
      </c>
      <c r="D1" s="10" t="s">
        <v>17</v>
      </c>
    </row>
    <row r="2" spans="1:11" x14ac:dyDescent="0.25">
      <c r="A2" s="2">
        <v>101</v>
      </c>
      <c r="B2" s="2" t="s">
        <v>3</v>
      </c>
      <c r="C2" s="9">
        <v>120</v>
      </c>
      <c r="D2" s="11" t="str">
        <f>IF(ISNA(VLOOKUP(A2,Sheet2!$B$2:$F$7,1,0)),"NOT ORDERED","ORDERED")</f>
        <v>ORDERED</v>
      </c>
    </row>
    <row r="3" spans="1:11" x14ac:dyDescent="0.25">
      <c r="A3" s="2">
        <v>102</v>
      </c>
      <c r="B3" s="2" t="s">
        <v>4</v>
      </c>
      <c r="C3" s="9">
        <v>150</v>
      </c>
      <c r="D3" s="11" t="str">
        <f>IF(ISNA(VLOOKUP(A3,Sheet2!$B$2:$F$7,1,0)),"NOT ORDERED","ORDERED")</f>
        <v>ORDERED</v>
      </c>
    </row>
    <row r="4" spans="1:11" x14ac:dyDescent="0.25">
      <c r="A4" s="2">
        <v>103</v>
      </c>
      <c r="B4" s="2" t="s">
        <v>5</v>
      </c>
      <c r="C4" s="9">
        <v>200</v>
      </c>
      <c r="D4" s="11" t="str">
        <f>IF(ISNA(VLOOKUP(A4,Sheet2!$B$2:$F$7,1,0)),"NOT ORDERED","ORDERED")</f>
        <v>ORDERED</v>
      </c>
    </row>
    <row r="5" spans="1:11" x14ac:dyDescent="0.25">
      <c r="A5" s="2">
        <v>104</v>
      </c>
      <c r="B5" s="2" t="s">
        <v>6</v>
      </c>
      <c r="C5" s="9">
        <v>90</v>
      </c>
      <c r="D5" s="11" t="str">
        <f>IF(ISNA(VLOOKUP(A5,Sheet2!$B$2:$F$7,1,0)),"NOT ORDERED","ORDERED")</f>
        <v>ORDERED</v>
      </c>
    </row>
    <row r="6" spans="1:11" x14ac:dyDescent="0.25">
      <c r="A6" s="2">
        <v>105</v>
      </c>
      <c r="B6" s="2" t="s">
        <v>7</v>
      </c>
      <c r="C6" s="9">
        <v>220</v>
      </c>
      <c r="D6" s="11" t="str">
        <f>IF(ISNA(VLOOKUP(A6,Sheet2!$B$2:$F$7,1,0)),"NOT ORDERED","ORDERED")</f>
        <v>ORDERED</v>
      </c>
    </row>
    <row r="7" spans="1:11" x14ac:dyDescent="0.25">
      <c r="A7" s="2">
        <v>106</v>
      </c>
      <c r="B7" s="2" t="s">
        <v>8</v>
      </c>
      <c r="C7" s="9">
        <v>130</v>
      </c>
      <c r="D7" s="11" t="str">
        <f>IF(ISNA(VLOOKUP(A7,Sheet2!$B$2:$F$7,1,0)),"NOT ORDERED","ORDERED")</f>
        <v>ORDERED</v>
      </c>
    </row>
    <row r="8" spans="1:11" x14ac:dyDescent="0.25">
      <c r="A8" s="4">
        <v>107</v>
      </c>
      <c r="D8" s="11" t="str">
        <f>IF(ISNA(VLOOKUP(A8,Sheet2!$B$2:$F$7,1,0)),"NOT ORDERED","ORDERED")</f>
        <v>NOT ORDERED</v>
      </c>
      <c r="I8" s="1" t="s">
        <v>0</v>
      </c>
      <c r="J8" s="2" t="s">
        <v>1</v>
      </c>
      <c r="K8" s="2" t="s">
        <v>18</v>
      </c>
    </row>
    <row r="9" spans="1:11" x14ac:dyDescent="0.25">
      <c r="I9" s="2">
        <v>104</v>
      </c>
      <c r="J9" s="2" t="str">
        <f>VLOOKUP(I9,Sheet2!$B$2:$F$7,4,0)</f>
        <v>PRODUCT D</v>
      </c>
      <c r="K9" s="2"/>
    </row>
  </sheetData>
  <dataValidations count="1">
    <dataValidation type="list" allowBlank="1" showInputMessage="1" showErrorMessage="1" sqref="I9" xr:uid="{C4A04486-676C-49D7-8820-CA7BE918169A}">
      <formula1>$A$2:$A$8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7221-CB7A-4BF2-BBED-BCF49B1DB508}">
  <dimension ref="A1:J8"/>
  <sheetViews>
    <sheetView tabSelected="1" workbookViewId="0">
      <selection activeCell="G15" sqref="G15"/>
    </sheetView>
  </sheetViews>
  <sheetFormatPr defaultRowHeight="15" x14ac:dyDescent="0.25"/>
  <cols>
    <col min="1" max="1" width="9.7109375" bestFit="1" customWidth="1"/>
    <col min="2" max="2" width="12.140625" bestFit="1" customWidth="1"/>
    <col min="3" max="3" width="10" bestFit="1" customWidth="1"/>
    <col min="4" max="4" width="12" bestFit="1" customWidth="1"/>
    <col min="5" max="5" width="15.7109375" bestFit="1" customWidth="1"/>
    <col min="6" max="6" width="10.85546875" bestFit="1" customWidth="1"/>
    <col min="8" max="8" width="10.28515625" bestFit="1" customWidth="1"/>
    <col min="9" max="9" width="18.7109375" bestFit="1" customWidth="1"/>
    <col min="10" max="10" width="12.140625" bestFit="1" customWidth="1"/>
  </cols>
  <sheetData>
    <row r="1" spans="1:10" x14ac:dyDescent="0.25">
      <c r="A1" s="1" t="s">
        <v>9</v>
      </c>
      <c r="B1" s="1" t="s">
        <v>0</v>
      </c>
      <c r="C1" s="1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2" t="s">
        <v>16</v>
      </c>
      <c r="J1" s="13"/>
    </row>
    <row r="2" spans="1:10" x14ac:dyDescent="0.25">
      <c r="A2" s="2">
        <v>1</v>
      </c>
      <c r="B2" s="2">
        <v>101</v>
      </c>
      <c r="C2" s="2">
        <v>2</v>
      </c>
      <c r="D2" s="3">
        <f>C2*VLOOKUP(B2,Sheet1!$A$2:$C$7,3,0)</f>
        <v>240</v>
      </c>
      <c r="E2" s="3" t="str">
        <f>VLOOKUP(B2,Sheet1!$A$2:$C$7,2,0)</f>
        <v>PRODUCT A</v>
      </c>
      <c r="F2" s="3">
        <f>VLOOKUP(B2,Sheet1!$A$2:$C$7,3,0)</f>
        <v>120</v>
      </c>
      <c r="G2" s="11" t="b">
        <f>ISERROR(VLOOKUP(B2,Sheet1!$A$2:$C$7,1,0))</f>
        <v>0</v>
      </c>
      <c r="H2" s="11">
        <f>VLOOKUP(B2,Sheet1!$A$2:$C$7,3,0)*10%</f>
        <v>12</v>
      </c>
      <c r="I2" s="9">
        <f>MAX(D2:D7)</f>
        <v>880</v>
      </c>
      <c r="J2" s="14"/>
    </row>
    <row r="3" spans="1:10" x14ac:dyDescent="0.25">
      <c r="A3" s="2">
        <v>2</v>
      </c>
      <c r="B3" s="2">
        <v>103</v>
      </c>
      <c r="C3" s="2">
        <v>1</v>
      </c>
      <c r="D3" s="3">
        <f>C3*VLOOKUP(B3,Sheet1!$A$2:$C$7,3,0)</f>
        <v>200</v>
      </c>
      <c r="E3" s="3" t="str">
        <f>VLOOKUP(B3,Sheet1!$A$2:$C$7,2,0)</f>
        <v>PRODUCT C</v>
      </c>
      <c r="F3" s="3">
        <f>VLOOKUP(B3,Sheet1!$A$2:$C$7,3,0)</f>
        <v>200</v>
      </c>
      <c r="G3" s="11" t="b">
        <f>ISERROR(VLOOKUP(B3,Sheet1!$A$2:$C$7,1,0))</f>
        <v>0</v>
      </c>
      <c r="H3" s="11">
        <f>VLOOKUP(B3,Sheet1!$A$2:$C$7,3,0)*10%</f>
        <v>20</v>
      </c>
      <c r="I3" s="9"/>
      <c r="J3" s="14"/>
    </row>
    <row r="4" spans="1:10" x14ac:dyDescent="0.25">
      <c r="A4" s="2">
        <v>3</v>
      </c>
      <c r="B4" s="2">
        <v>105</v>
      </c>
      <c r="C4" s="2">
        <v>4</v>
      </c>
      <c r="D4" s="3">
        <f>C4*VLOOKUP(B4,Sheet1!$A$2:$C$7,3,0)</f>
        <v>880</v>
      </c>
      <c r="E4" s="3" t="str">
        <f>VLOOKUP(B4,Sheet1!$A$2:$C$7,2,0)</f>
        <v>PRODUCT E</v>
      </c>
      <c r="F4" s="3">
        <f>VLOOKUP(B4,Sheet1!$A$2:$C$7,3,0)</f>
        <v>220</v>
      </c>
      <c r="G4" s="11" t="b">
        <f>ISERROR(VLOOKUP(B4,Sheet1!$A$2:$C$7,1,0))</f>
        <v>0</v>
      </c>
      <c r="H4" s="11">
        <f>VLOOKUP(B4,Sheet1!$A$2:$C$7,3,0)*10%</f>
        <v>22</v>
      </c>
      <c r="I4" s="9"/>
      <c r="J4" s="14"/>
    </row>
    <row r="5" spans="1:10" x14ac:dyDescent="0.25">
      <c r="A5" s="2">
        <v>4</v>
      </c>
      <c r="B5" s="2">
        <v>106</v>
      </c>
      <c r="C5" s="2">
        <v>3</v>
      </c>
      <c r="D5" s="3">
        <f>C5*VLOOKUP(B5,Sheet1!$A$2:$C$7,3,0)</f>
        <v>390</v>
      </c>
      <c r="E5" s="3" t="str">
        <f>VLOOKUP(B5,Sheet1!$A$2:$C$7,2,0)</f>
        <v>PRODUCT F</v>
      </c>
      <c r="F5" s="3">
        <f>VLOOKUP(B5,Sheet1!$A$2:$C$7,3,0)</f>
        <v>130</v>
      </c>
      <c r="G5" s="11" t="b">
        <f>ISERROR(VLOOKUP(B5,Sheet1!$A$2:$C$7,1,0))</f>
        <v>0</v>
      </c>
      <c r="H5" s="11">
        <f>VLOOKUP(B5,Sheet1!$A$2:$C$7,3,0)*10%</f>
        <v>13</v>
      </c>
      <c r="I5" s="9"/>
      <c r="J5" s="14"/>
    </row>
    <row r="6" spans="1:10" x14ac:dyDescent="0.25">
      <c r="A6" s="2">
        <v>5</v>
      </c>
      <c r="B6" s="2">
        <v>102</v>
      </c>
      <c r="C6" s="2">
        <v>5</v>
      </c>
      <c r="D6" s="3">
        <f>C6*VLOOKUP(B6,Sheet1!$A$2:$C$7,3,0)</f>
        <v>750</v>
      </c>
      <c r="E6" s="3" t="str">
        <f>VLOOKUP(B6,Sheet1!$A$2:$C$7,2,0)</f>
        <v>PRODUCT B</v>
      </c>
      <c r="F6" s="3">
        <f>VLOOKUP(B6,Sheet1!$A$2:$C$7,3,0)</f>
        <v>150</v>
      </c>
      <c r="G6" s="11" t="b">
        <f>ISERROR(VLOOKUP(B6,Sheet1!$A$2:$C$7,1,0))</f>
        <v>0</v>
      </c>
      <c r="H6" s="11">
        <f>VLOOKUP(B6,Sheet1!$A$2:$C$7,3,0)*10%</f>
        <v>15</v>
      </c>
      <c r="I6" s="9"/>
      <c r="J6" s="14"/>
    </row>
    <row r="7" spans="1:10" x14ac:dyDescent="0.25">
      <c r="A7" s="2">
        <v>6</v>
      </c>
      <c r="B7" s="2">
        <v>104</v>
      </c>
      <c r="C7" s="2">
        <v>6</v>
      </c>
      <c r="D7" s="3">
        <f>C7*VLOOKUP(B7,Sheet1!$A$2:$C$7,3,0)</f>
        <v>540</v>
      </c>
      <c r="E7" s="3" t="str">
        <f>VLOOKUP(B7,Sheet1!$A$2:$C$7,2,0)</f>
        <v>PRODUCT D</v>
      </c>
      <c r="F7" s="3">
        <f>VLOOKUP(B7,Sheet1!$A$2:$C$7,3,0)</f>
        <v>90</v>
      </c>
      <c r="G7" s="11" t="b">
        <f>ISERROR(VLOOKUP(B7,Sheet1!$A$2:$C$7,1,0))</f>
        <v>0</v>
      </c>
      <c r="H7" s="11">
        <f>VLOOKUP(B7,Sheet1!$A$2:$C$7,3,0)*10%</f>
        <v>9</v>
      </c>
      <c r="I7" s="9"/>
      <c r="J7" s="14"/>
    </row>
    <row r="8" spans="1:10" x14ac:dyDescent="0.25">
      <c r="B8" s="5">
        <v>107</v>
      </c>
      <c r="C8" s="7"/>
      <c r="D8" s="7"/>
      <c r="E8" s="7"/>
      <c r="F8" s="7"/>
      <c r="G8" s="6" t="b">
        <f>ISERROR(VLOOKUP(B8,Sheet1!$A$2:$C$7,1,0))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2025-11-26T14:54:04Z</dcterms:created>
  <dcterms:modified xsi:type="dcterms:W3CDTF">2025-11-26T16:18:00Z</dcterms:modified>
</cp:coreProperties>
</file>