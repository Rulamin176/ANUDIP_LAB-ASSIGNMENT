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lam\Downloads\"/>
    </mc:Choice>
  </mc:AlternateContent>
  <xr:revisionPtr revIDLastSave="0" documentId="13_ncr:1_{75C1FEE6-2A2E-4425-AECC-978AE7C34DE1}" xr6:coauthVersionLast="47" xr6:coauthVersionMax="47" xr10:uidLastSave="{00000000-0000-0000-0000-000000000000}"/>
  <bookViews>
    <workbookView xWindow="-108" yWindow="-108" windowWidth="23256" windowHeight="12456" xr2:uid="{6749BAED-3F5C-46C5-8889-8C88AD9AD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M27" i="1"/>
  <c r="J27" i="1"/>
  <c r="J23" i="1" a="1"/>
  <c r="P17" i="1"/>
  <c r="M17" i="1"/>
  <c r="J18" i="1"/>
  <c r="J17" i="1"/>
  <c r="G11" i="1"/>
  <c r="J23" i="1" l="1"/>
  <c r="O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<sst xmlns="http://schemas.openxmlformats.org/spreadsheetml/2006/main" count="61" uniqueCount="24">
  <si>
    <t xml:space="preserve">Product </t>
  </si>
  <si>
    <t>Fab</t>
  </si>
  <si>
    <t>Mar</t>
  </si>
  <si>
    <t>Apr</t>
  </si>
  <si>
    <t>May</t>
  </si>
  <si>
    <t>Jan</t>
  </si>
  <si>
    <t>Product A</t>
  </si>
  <si>
    <t>Product B</t>
  </si>
  <si>
    <t>Product C</t>
  </si>
  <si>
    <t>Product D</t>
  </si>
  <si>
    <t>Product E</t>
  </si>
  <si>
    <t>Product F</t>
  </si>
  <si>
    <t>SALES</t>
  </si>
  <si>
    <t>Q1</t>
  </si>
  <si>
    <t>Q2</t>
  </si>
  <si>
    <t>Q3</t>
  </si>
  <si>
    <t>Q4</t>
  </si>
  <si>
    <t>TOTAL  SALLE</t>
  </si>
  <si>
    <t>Q5</t>
  </si>
  <si>
    <t>MAX SALES</t>
  </si>
  <si>
    <t>Q6</t>
  </si>
  <si>
    <t>MIN SALES</t>
  </si>
  <si>
    <t>Q7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</si>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</sst>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D7B-9786-45CC-B17C-0441631FD647}">
  <dimension ref="A1:P31"/>
  <sheetViews>
    <sheetView tabSelected="1" workbookViewId="0">
      <selection activeCell="I5" sqref="I5"/>
    </sheetView>
  </sheetViews>
  <sheetFormatPr defaultRowHeight="14.4" x14ac:dyDescent="0.3"/>
  <cols>
    <col min="10" max="10" width="10" bestFit="1" customWidth="1"/>
    <col min="15" max="15" width="12" bestFit="1" customWidth="1"/>
  </cols>
  <sheetData>
    <row r="1" spans="1:1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16" x14ac:dyDescent="0.3">
      <c r="A2" t="s">
        <v>6</v>
      </c>
      <c r="B2">
        <v>120</v>
      </c>
      <c r="C2">
        <v>130</v>
      </c>
      <c r="D2">
        <v>140</v>
      </c>
      <c r="E2">
        <v>150</v>
      </c>
      <c r="F2">
        <v>160</v>
      </c>
    </row>
    <row r="3" spans="1:16" x14ac:dyDescent="0.3">
      <c r="A3" t="s">
        <v>7</v>
      </c>
      <c r="B3">
        <v>150</v>
      </c>
      <c r="C3">
        <v>160</v>
      </c>
      <c r="D3">
        <v>170</v>
      </c>
      <c r="E3">
        <v>180</v>
      </c>
      <c r="F3">
        <v>190</v>
      </c>
    </row>
    <row r="4" spans="1:16" x14ac:dyDescent="0.3">
      <c r="A4" t="s">
        <v>8</v>
      </c>
      <c r="B4">
        <v>200</v>
      </c>
      <c r="C4">
        <v>210</v>
      </c>
      <c r="D4">
        <v>220</v>
      </c>
      <c r="E4">
        <v>230</v>
      </c>
      <c r="F4">
        <v>240</v>
      </c>
    </row>
    <row r="5" spans="1:16" x14ac:dyDescent="0.3">
      <c r="A5" t="s">
        <v>9</v>
      </c>
      <c r="B5">
        <v>90</v>
      </c>
      <c r="C5">
        <v>100</v>
      </c>
      <c r="D5">
        <v>110</v>
      </c>
      <c r="E5">
        <v>120</v>
      </c>
      <c r="F5">
        <v>130</v>
      </c>
    </row>
    <row r="6" spans="1:16" x14ac:dyDescent="0.3">
      <c r="A6" t="s">
        <v>10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16" x14ac:dyDescent="0.3">
      <c r="A7" t="s">
        <v>11</v>
      </c>
      <c r="B7">
        <v>130</v>
      </c>
      <c r="C7">
        <v>140</v>
      </c>
      <c r="D7">
        <v>150</v>
      </c>
      <c r="E7">
        <v>160</v>
      </c>
      <c r="F7">
        <v>170</v>
      </c>
    </row>
    <row r="10" spans="1:16" x14ac:dyDescent="0.3">
      <c r="F10" t="s">
        <v>0</v>
      </c>
      <c r="G10" t="s">
        <v>12</v>
      </c>
    </row>
    <row r="11" spans="1:16" x14ac:dyDescent="0.3">
      <c r="F11" t="s">
        <v>6</v>
      </c>
      <c r="G11" t="str">
        <f>HLOOKUP(F11,A2:F7,3,0)</f>
        <v>Product C</v>
      </c>
    </row>
    <row r="15" spans="1:16" x14ac:dyDescent="0.3">
      <c r="A15" s="2" t="s">
        <v>0</v>
      </c>
      <c r="B15" s="2" t="s">
        <v>6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  <c r="I15" s="3" t="s">
        <v>13</v>
      </c>
      <c r="J15" s="2"/>
      <c r="L15" s="3" t="s">
        <v>14</v>
      </c>
      <c r="M15" s="2"/>
      <c r="O15" s="3" t="s">
        <v>15</v>
      </c>
      <c r="P15" s="2"/>
    </row>
    <row r="16" spans="1:16" x14ac:dyDescent="0.3">
      <c r="A16" s="2" t="s">
        <v>5</v>
      </c>
      <c r="B16" s="2">
        <v>120</v>
      </c>
      <c r="C16" s="2">
        <v>150</v>
      </c>
      <c r="D16" s="2">
        <v>200</v>
      </c>
      <c r="E16" s="2">
        <v>90</v>
      </c>
      <c r="F16" s="2">
        <v>220</v>
      </c>
      <c r="G16" s="2">
        <v>130</v>
      </c>
      <c r="I16" s="1" t="s">
        <v>0</v>
      </c>
      <c r="J16" s="1" t="s">
        <v>12</v>
      </c>
      <c r="L16" s="1" t="s">
        <v>0</v>
      </c>
      <c r="M16" s="1" t="s">
        <v>12</v>
      </c>
      <c r="O16" s="1" t="s">
        <v>0</v>
      </c>
      <c r="P16" s="1" t="s">
        <v>12</v>
      </c>
    </row>
    <row r="17" spans="1:16" x14ac:dyDescent="0.3">
      <c r="A17" s="2" t="s">
        <v>1</v>
      </c>
      <c r="B17" s="2">
        <v>130</v>
      </c>
      <c r="C17" s="2">
        <v>160</v>
      </c>
      <c r="D17" s="2">
        <v>210</v>
      </c>
      <c r="E17" s="2">
        <v>100</v>
      </c>
      <c r="F17" s="2">
        <v>230</v>
      </c>
      <c r="G17" s="2">
        <v>140</v>
      </c>
      <c r="I17" s="1" t="s">
        <v>6</v>
      </c>
      <c r="J17" s="1">
        <f>HLOOKUP(I17,$A$15:$G$20,4,0)</f>
        <v>140</v>
      </c>
      <c r="L17" s="1" t="s">
        <v>9</v>
      </c>
      <c r="M17" s="1">
        <f>HLOOKUP(L17,$A$15:$G$20,6,0)</f>
        <v>130</v>
      </c>
      <c r="O17" s="1" t="s">
        <v>8</v>
      </c>
      <c r="P17" s="1">
        <f>HLOOKUP(O17,A15:G20,3,0)</f>
        <v>210</v>
      </c>
    </row>
    <row r="18" spans="1:16" x14ac:dyDescent="0.3">
      <c r="A18" s="2" t="s">
        <v>2</v>
      </c>
      <c r="B18" s="2">
        <v>140</v>
      </c>
      <c r="C18" s="2">
        <v>170</v>
      </c>
      <c r="D18" s="2">
        <v>220</v>
      </c>
      <c r="E18" s="2">
        <v>110</v>
      </c>
      <c r="F18" s="2">
        <v>240</v>
      </c>
      <c r="G18" s="2">
        <v>150</v>
      </c>
      <c r="I18" s="1" t="s">
        <v>7</v>
      </c>
      <c r="J18" s="1">
        <f>HLOOKUP(I18,$A$15:$G$20,4,0)</f>
        <v>170</v>
      </c>
    </row>
    <row r="19" spans="1:16" x14ac:dyDescent="0.3">
      <c r="A19" s="2" t="s">
        <v>3</v>
      </c>
      <c r="B19" s="2">
        <v>150</v>
      </c>
      <c r="C19" s="2">
        <v>180</v>
      </c>
      <c r="D19" s="2">
        <v>230</v>
      </c>
      <c r="E19" s="2">
        <v>120</v>
      </c>
      <c r="F19" s="2">
        <v>250</v>
      </c>
      <c r="G19" s="2">
        <v>160</v>
      </c>
    </row>
    <row r="20" spans="1:16" x14ac:dyDescent="0.3">
      <c r="A20" s="2" t="s">
        <v>4</v>
      </c>
      <c r="B20" s="2">
        <v>160</v>
      </c>
      <c r="C20" s="2">
        <v>190</v>
      </c>
      <c r="D20" s="2">
        <v>240</v>
      </c>
      <c r="E20" s="2">
        <v>130</v>
      </c>
      <c r="F20" s="2">
        <v>260</v>
      </c>
      <c r="G20" s="2">
        <v>170</v>
      </c>
    </row>
    <row r="21" spans="1:16" x14ac:dyDescent="0.3">
      <c r="I21" s="1" t="s">
        <v>16</v>
      </c>
      <c r="J21" s="2"/>
      <c r="K21" s="2"/>
      <c r="L21" s="2"/>
      <c r="M21" s="2"/>
      <c r="N21" s="2"/>
      <c r="O21" s="2"/>
    </row>
    <row r="22" spans="1:16" x14ac:dyDescent="0.3">
      <c r="I22" s="3" t="s">
        <v>0</v>
      </c>
      <c r="J22" s="3" t="s">
        <v>5</v>
      </c>
      <c r="K22" s="3" t="s">
        <v>1</v>
      </c>
      <c r="L22" s="3" t="s">
        <v>2</v>
      </c>
      <c r="M22" s="3" t="s">
        <v>3</v>
      </c>
      <c r="N22" s="3" t="s">
        <v>4</v>
      </c>
      <c r="O22" s="3" t="s">
        <v>17</v>
      </c>
    </row>
    <row r="23" spans="1:16" x14ac:dyDescent="0.3">
      <c r="I23" s="3" t="s">
        <v>8</v>
      </c>
      <c r="J23" s="3" cm="1">
        <f t="array" ref="J23:N23">HLOOKUP(I23,A15:G20,{2,3,4,5,6},0)</f>
        <v>200</v>
      </c>
      <c r="K23" s="3">
        <v>210</v>
      </c>
      <c r="L23" s="3">
        <v>220</v>
      </c>
      <c r="M23" s="3">
        <v>230</v>
      </c>
      <c r="N23" s="3">
        <v>240</v>
      </c>
      <c r="O23" s="3">
        <f>SUM(_xlfn.ANCHORARRAY(J23))</f>
        <v>1100</v>
      </c>
    </row>
    <row r="25" spans="1:16" x14ac:dyDescent="0.3">
      <c r="I25" s="3" t="s">
        <v>18</v>
      </c>
      <c r="J25" s="3"/>
      <c r="L25" s="3" t="s">
        <v>20</v>
      </c>
      <c r="M25" s="3"/>
    </row>
    <row r="26" spans="1:16" x14ac:dyDescent="0.3">
      <c r="I26" s="3" t="s">
        <v>0</v>
      </c>
      <c r="J26" s="3" t="s">
        <v>19</v>
      </c>
      <c r="L26" s="3" t="s">
        <v>0</v>
      </c>
      <c r="M26" s="3" t="s">
        <v>21</v>
      </c>
    </row>
    <row r="27" spans="1:16" x14ac:dyDescent="0.3">
      <c r="I27" s="3" t="s">
        <v>7</v>
      </c>
      <c r="J27" s="3">
        <f>MAX(C16:C20)</f>
        <v>190</v>
      </c>
      <c r="L27" s="3" t="s">
        <v>11</v>
      </c>
      <c r="M27" s="3">
        <f>MIN(G16:G20)</f>
        <v>130</v>
      </c>
    </row>
    <row r="29" spans="1:16" x14ac:dyDescent="0.3">
      <c r="I29" s="3" t="s">
        <v>22</v>
      </c>
      <c r="J29" s="3"/>
    </row>
    <row r="30" spans="1:16" x14ac:dyDescent="0.3">
      <c r="I30" s="3" t="s">
        <v>0</v>
      </c>
      <c r="J30" s="3" t="s">
        <v>23</v>
      </c>
    </row>
    <row r="31" spans="1:16" x14ac:dyDescent="0.3">
      <c r="I31" s="3" t="s">
        <v>10</v>
      </c>
      <c r="J31" s="3">
        <f>AVERAGE(F16:F20)</f>
        <v>240</v>
      </c>
    </row>
  </sheetData>
  <dataValidations count="1">
    <dataValidation type="list" allowBlank="1" showInputMessage="1" showErrorMessage="1" sqref="I23" xr:uid="{F3CFD913-F07D-4448-8C11-433298BDF553}">
      <formula1>$B$15:$G$15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2025-11-27T05:37:36Z</dcterms:created>
  <dcterms:modified xsi:type="dcterms:W3CDTF">2025-11-27T07:13:44Z</dcterms:modified>
</cp:coreProperties>
</file>